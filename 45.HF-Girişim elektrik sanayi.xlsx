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filterPrivacy="1" codeName="ThisWorkbook"/>
  <xr:revisionPtr revIDLastSave="0" documentId="13_ncr:1_{ECFD1592-C5B1-43B5-825E-113A030447BD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aktura" sheetId="1" r:id="rId1"/>
    <sheet name="Sheet1" sheetId="2" state="hidden" r:id="rId2"/>
  </sheets>
  <definedNames>
    <definedName name="_xlnm.Print_Titles" localSheetId="0">Faktura!$16:$16</definedName>
    <definedName name="TitreColonne1">#REF!</definedName>
    <definedName name="ZonteTitreLigne1..D4">Faktura!$D$2</definedName>
    <definedName name="ZonteTitreLigne2..D11">Faktura!$D$5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1" l="1"/>
  <c r="A12" i="2"/>
  <c r="A13" i="2" s="1"/>
  <c r="A14" i="2" s="1"/>
  <c r="A15" i="2" s="1"/>
  <c r="A16" i="2" s="1"/>
  <c r="A17" i="2" s="1"/>
  <c r="A18" i="2" s="1"/>
  <c r="A19" i="2" s="1"/>
  <c r="E18" i="1" l="1"/>
  <c r="E19" i="1" s="1"/>
  <c r="E20" i="1" s="1"/>
  <c r="A1" i="2" s="1"/>
  <c r="B12" i="2" l="1"/>
  <c r="C12" i="2" s="1"/>
  <c r="C21" i="2"/>
  <c r="B18" i="2"/>
  <c r="B11" i="2"/>
  <c r="B13" i="2"/>
  <c r="C13" i="2" s="1"/>
  <c r="B14" i="2"/>
  <c r="A8" i="2"/>
  <c r="B17" i="2"/>
  <c r="B16" i="2"/>
  <c r="C16" i="2" s="1"/>
  <c r="B15" i="2"/>
  <c r="B19" i="2"/>
  <c r="C19" i="2" s="1"/>
  <c r="C11" i="2" l="1"/>
  <c r="A7" i="2"/>
  <c r="C14" i="2" s="1"/>
  <c r="C15" i="2"/>
  <c r="C18" i="2"/>
  <c r="C17" i="2"/>
  <c r="A23" i="2" l="1"/>
  <c r="A2" i="2" s="1"/>
  <c r="C21" i="1" l="1"/>
</calcChain>
</file>

<file path=xl/sharedStrings.xml><?xml version="1.0" encoding="utf-8"?>
<sst xmlns="http://schemas.openxmlformats.org/spreadsheetml/2006/main" count="104" uniqueCount="90">
  <si>
    <t>Hesab-Faktura</t>
  </si>
  <si>
    <t>Tarix :</t>
  </si>
  <si>
    <t>Faktura № :</t>
  </si>
  <si>
    <t>Valyuta</t>
  </si>
  <si>
    <t>AZN</t>
  </si>
  <si>
    <t>Bank</t>
  </si>
  <si>
    <t>Kapital Bank ASC, Bakıxanov filialı</t>
  </si>
  <si>
    <t>Filial kodu</t>
  </si>
  <si>
    <t>Mobil:   (051)658-81-40</t>
  </si>
  <si>
    <t>VÖEN</t>
  </si>
  <si>
    <t xml:space="preserve">SWIFT </t>
  </si>
  <si>
    <t xml:space="preserve">AIIBAZ2X                                                          </t>
  </si>
  <si>
    <t>M/h</t>
  </si>
  <si>
    <t>AZ37NABZ01350100000000001944</t>
  </si>
  <si>
    <t>Müəssisə</t>
  </si>
  <si>
    <t xml:space="preserve">“AZERISAFE SOLUTIONS”  MMC </t>
  </si>
  <si>
    <t>H/h</t>
  </si>
  <si>
    <t>AZ02AIIB400400D9442733947121</t>
  </si>
  <si>
    <t>Malların (iş və ya xidmətlərin) adı</t>
  </si>
  <si>
    <t xml:space="preserve">Miqdarı </t>
  </si>
  <si>
    <t>Qiymət</t>
  </si>
  <si>
    <t>Məbləğ</t>
  </si>
  <si>
    <t>Xidmətlərin dəyərinin ödənişi  fakturada qeyd olunan tarixdən 5(beş) iş günü ərzində həyata keçirilməlir.                                                                                                                                 Faktura ilə bağlı hər hansı bir sualınız yaranarsa, qeyd olunan telefon və ya e-poçt ilə əlaqə saxlayın.</t>
  </si>
  <si>
    <t>Ümumi məbləğ</t>
  </si>
  <si>
    <t>ƏDV 18%</t>
  </si>
  <si>
    <t>YEKUN MƏBLƏĞ</t>
  </si>
  <si>
    <t xml:space="preserve">Yekun məbləğ yazı ilə:  </t>
  </si>
  <si>
    <t>Baş Direktor:  Nazim Cəfərov</t>
  </si>
  <si>
    <t>__________________________________________</t>
  </si>
  <si>
    <t xml:space="preserve"> </t>
  </si>
  <si>
    <t>bir</t>
  </si>
  <si>
    <t>iki</t>
  </si>
  <si>
    <t>üç</t>
  </si>
  <si>
    <t>dörd</t>
  </si>
  <si>
    <t>beş</t>
  </si>
  <si>
    <t>altı</t>
  </si>
  <si>
    <t>yeddi</t>
  </si>
  <si>
    <t>səkkiz</t>
  </si>
  <si>
    <t>doqquz</t>
  </si>
  <si>
    <t>on</t>
  </si>
  <si>
    <t>on bir</t>
  </si>
  <si>
    <t>on iki</t>
  </si>
  <si>
    <t>on üç</t>
  </si>
  <si>
    <t>on dörd</t>
  </si>
  <si>
    <t>on beş</t>
  </si>
  <si>
    <t>on altı</t>
  </si>
  <si>
    <t>on yeddi</t>
  </si>
  <si>
    <t>on səkkiz</t>
  </si>
  <si>
    <t>on doqquz</t>
  </si>
  <si>
    <t>iyirmi</t>
  </si>
  <si>
    <t>otuz</t>
  </si>
  <si>
    <t>qırx</t>
  </si>
  <si>
    <t>əlli</t>
  </si>
  <si>
    <t>altmış</t>
  </si>
  <si>
    <t>yetmiş</t>
  </si>
  <si>
    <t>səksən</t>
  </si>
  <si>
    <t>doxsan</t>
  </si>
  <si>
    <t>bir yüz</t>
  </si>
  <si>
    <t>iki yüz</t>
  </si>
  <si>
    <t>üç yüz</t>
  </si>
  <si>
    <t>dörd yüz</t>
  </si>
  <si>
    <t>beş yüz</t>
  </si>
  <si>
    <t>altı yüz</t>
  </si>
  <si>
    <t>yeddi yüz</t>
  </si>
  <si>
    <t>səkkiz yüz</t>
  </si>
  <si>
    <t>doqquz yüz</t>
  </si>
  <si>
    <t>bir min</t>
  </si>
  <si>
    <t>iki min</t>
  </si>
  <si>
    <t>üç min</t>
  </si>
  <si>
    <t>dörd min</t>
  </si>
  <si>
    <t>beş min</t>
  </si>
  <si>
    <t>altı min</t>
  </si>
  <si>
    <t>yeddi min</t>
  </si>
  <si>
    <t>səkkiz min</t>
  </si>
  <si>
    <t>doqquz min</t>
  </si>
  <si>
    <t>bir milyon</t>
  </si>
  <si>
    <t>iki milyon</t>
  </si>
  <si>
    <t>üç milyon</t>
  </si>
  <si>
    <t>dörd milyon</t>
  </si>
  <si>
    <t>beş milyon</t>
  </si>
  <si>
    <t>altı milyon</t>
  </si>
  <si>
    <t>yeddi milyon</t>
  </si>
  <si>
    <t>səkkiz milyon</t>
  </si>
  <si>
    <t>doqquz milyon</t>
  </si>
  <si>
    <t>manat</t>
  </si>
  <si>
    <t>E-mail: office@azerisafe.com</t>
  </si>
  <si>
    <t>ISO xidməti</t>
  </si>
  <si>
    <r>
      <t>HARA:GİRİŞİM ELEKTRİK SANAYİ TAAHHÜTVƏ TİCARET ANONİM</t>
    </r>
    <r>
      <rPr>
        <b/>
        <sz val="12"/>
        <color rgb="FF000000"/>
        <rFont val="Tahoma"/>
        <family val="2"/>
      </rPr>
      <t xml:space="preserve"> (VÖEN: 1507487891)</t>
    </r>
  </si>
  <si>
    <t xml:space="preserve">Qeyd: 16 İyul 2026-cı il tarixli ASF 63/25-26 №li müqavilə, 24 Avqust 2026 tarixli Əlavə 2
</t>
  </si>
  <si>
    <t>AS-45/2026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</si>
</sst>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#,##0.00\ &quot;€&quot;;\-#,##0.00\ &quot;€&quot;"/>
    <numFmt numFmtId="167" formatCode="_-* #,##0\ &quot;€&quot;_-;\-* #,##0\ &quot;€&quot;_-;_-* &quot;-&quot;\ &quot;€&quot;_-;_-@_-"/>
    <numFmt numFmtId="168" formatCode="0#&quot; &quot;##&quot; &quot;##&quot; &quot;##&quot; &quot;##"/>
    <numFmt numFmtId="169" formatCode="#,##0_ ;\-#,##0\ "/>
    <numFmt numFmtId="170" formatCode="_-* #,##0.00\ [$₼-42C]_-;\-* #,##0.00\ [$₼-42C]_-;_-* &quot;-&quot;??\ [$₼-42C]_-;_-@_-"/>
    <numFmt numFmtId="171" formatCode="_(* #,##0_);_(* \(#,##0\);_(* &quot;-&quot;??_);_(@_)"/>
  </numFmts>
  <fonts count="45" x14ac:knownFonts="1">
    <font>
      <sz val="11"/>
      <color theme="3"/>
      <name val="Cambria"/>
      <family val="2"/>
      <scheme val="minor"/>
    </font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6"/>
      <color theme="1" tint="0.24994659260841701"/>
      <name val="Tahoma"/>
      <family val="2"/>
      <scheme val="major"/>
    </font>
    <font>
      <sz val="11"/>
      <color rgb="FF3F3F3F"/>
      <name val="Cambria"/>
      <family val="2"/>
      <scheme val="minor"/>
    </font>
    <font>
      <sz val="28"/>
      <color theme="1" tint="0.499984740745262"/>
      <name val="Tahoma"/>
      <family val="2"/>
      <scheme val="major"/>
    </font>
    <font>
      <sz val="11"/>
      <color theme="3"/>
      <name val="Tahoma"/>
      <family val="2"/>
      <scheme val="major"/>
    </font>
    <font>
      <sz val="11"/>
      <color theme="1" tint="0.14996795556505021"/>
      <name val="Cambria"/>
      <family val="2"/>
      <scheme val="minor"/>
    </font>
    <font>
      <b/>
      <sz val="11"/>
      <color theme="1"/>
      <name val="Cambria"/>
      <family val="2"/>
      <scheme val="minor"/>
    </font>
    <font>
      <b/>
      <i/>
      <sz val="11"/>
      <color theme="1" tint="0.14993743705557422"/>
      <name val="Cambria"/>
      <family val="2"/>
      <scheme val="minor"/>
    </font>
    <font>
      <sz val="11"/>
      <name val="Cambria"/>
      <family val="2"/>
      <scheme val="minor"/>
    </font>
    <font>
      <sz val="11"/>
      <color theme="1" tint="0.24994659260841701"/>
      <name val="Cambria"/>
      <family val="1"/>
      <scheme val="minor"/>
    </font>
    <font>
      <sz val="11"/>
      <color theme="3"/>
      <name val="Cambria"/>
      <family val="2"/>
      <scheme val="minor"/>
    </font>
    <font>
      <sz val="11"/>
      <color rgb="FF006100"/>
      <name val="Cambria"/>
      <family val="2"/>
      <scheme val="minor"/>
    </font>
    <font>
      <sz val="11"/>
      <color rgb="FF9C0006"/>
      <name val="Cambria"/>
      <family val="2"/>
      <scheme val="minor"/>
    </font>
    <font>
      <sz val="11"/>
      <color rgb="FF9C5700"/>
      <name val="Cambria"/>
      <family val="2"/>
      <scheme val="minor"/>
    </font>
    <font>
      <sz val="11"/>
      <color rgb="FF3F3F76"/>
      <name val="Cambria"/>
      <family val="2"/>
      <scheme val="minor"/>
    </font>
    <font>
      <b/>
      <sz val="11"/>
      <color rgb="FFFA7D00"/>
      <name val="Cambria"/>
      <family val="2"/>
      <scheme val="minor"/>
    </font>
    <font>
      <sz val="11"/>
      <color rgb="FFFA7D00"/>
      <name val="Cambria"/>
      <family val="2"/>
      <scheme val="minor"/>
    </font>
    <font>
      <b/>
      <sz val="11"/>
      <color theme="0"/>
      <name val="Cambria"/>
      <family val="2"/>
      <scheme val="minor"/>
    </font>
    <font>
      <sz val="11"/>
      <color rgb="FFFF0000"/>
      <name val="Cambria"/>
      <family val="2"/>
      <scheme val="minor"/>
    </font>
    <font>
      <sz val="11"/>
      <color theme="0"/>
      <name val="Cambria"/>
      <family val="2"/>
      <scheme val="minor"/>
    </font>
    <font>
      <u/>
      <sz val="11"/>
      <color theme="10"/>
      <name val="Cambria"/>
      <family val="2"/>
      <scheme val="minor"/>
    </font>
    <font>
      <sz val="11"/>
      <color theme="1"/>
      <name val="Tahoma"/>
      <family val="2"/>
      <scheme val="major"/>
    </font>
    <font>
      <sz val="12"/>
      <color theme="1"/>
      <name val="Tahoma"/>
      <family val="2"/>
      <scheme val="major"/>
    </font>
    <font>
      <b/>
      <sz val="11"/>
      <color theme="1"/>
      <name val="Cambria"/>
      <family val="1"/>
      <scheme val="minor"/>
    </font>
    <font>
      <b/>
      <i/>
      <sz val="14"/>
      <color theme="1"/>
      <name val="Cambria"/>
      <family val="1"/>
      <scheme val="minor"/>
    </font>
    <font>
      <b/>
      <sz val="16"/>
      <color rgb="FF0070C0"/>
      <name val="Tahoma"/>
      <family val="2"/>
      <charset val="204"/>
      <scheme val="major"/>
    </font>
    <font>
      <sz val="11"/>
      <color rgb="FF0070C0"/>
      <name val="Tahoma"/>
      <family val="2"/>
      <scheme val="major"/>
    </font>
    <font>
      <u/>
      <sz val="11"/>
      <color rgb="FF0070C0"/>
      <name val="Cambria"/>
      <family val="2"/>
      <scheme val="minor"/>
    </font>
    <font>
      <sz val="12"/>
      <color theme="1"/>
      <name val="Cambria"/>
      <family val="1"/>
      <charset val="204"/>
      <scheme val="minor"/>
    </font>
    <font>
      <b/>
      <sz val="14"/>
      <name val="Cambria"/>
      <family val="1"/>
      <charset val="204"/>
      <scheme val="minor"/>
    </font>
    <font>
      <b/>
      <sz val="14"/>
      <color theme="3"/>
      <name val="Cambria"/>
      <family val="1"/>
      <scheme val="minor"/>
    </font>
    <font>
      <b/>
      <sz val="12"/>
      <name val="Cambria"/>
      <family val="1"/>
      <charset val="204"/>
      <scheme val="minor"/>
    </font>
    <font>
      <sz val="12"/>
      <color theme="3"/>
      <name val="Cambria"/>
      <family val="1"/>
      <charset val="204"/>
      <scheme val="minor"/>
    </font>
    <font>
      <b/>
      <sz val="11"/>
      <color theme="1"/>
      <name val="Tahoma"/>
      <family val="2"/>
      <scheme val="major"/>
    </font>
    <font>
      <sz val="10"/>
      <name val="Arial"/>
      <family val="2"/>
    </font>
    <font>
      <sz val="10"/>
      <name val="Times New Roman"/>
      <family val="1"/>
      <charset val="204"/>
    </font>
    <font>
      <sz val="14"/>
      <color theme="1"/>
      <name val="Cambria"/>
      <family val="1"/>
      <charset val="204"/>
      <scheme val="minor"/>
    </font>
    <font>
      <sz val="12"/>
      <color theme="1"/>
      <name val="Cambria"/>
      <family val="1"/>
      <scheme val="minor"/>
    </font>
    <font>
      <sz val="12"/>
      <color theme="1"/>
      <name val="Cambria"/>
      <family val="2"/>
      <scheme val="minor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color rgb="FF000000"/>
      <name val="Tahoma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n">
        <color theme="1" tint="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1">
    <xf numFmtId="0" fontId="0" fillId="0" borderId="0">
      <alignment vertical="center" wrapText="1"/>
    </xf>
    <xf numFmtId="0" fontId="4" fillId="0" borderId="0" applyNumberFormat="0" applyFill="0" applyBorder="0" applyProtection="0"/>
    <xf numFmtId="0" fontId="7" fillId="0" borderId="0" applyNumberFormat="0" applyFill="0" applyBorder="0" applyProtection="0">
      <alignment wrapText="1"/>
    </xf>
    <xf numFmtId="0" fontId="7" fillId="0" borderId="0" applyNumberFormat="0" applyFill="0" applyBorder="0" applyProtection="0">
      <alignment vertical="top" wrapText="1"/>
    </xf>
    <xf numFmtId="0" fontId="5" fillId="0" borderId="1" applyNumberFormat="0" applyProtection="0">
      <alignment vertical="center"/>
    </xf>
    <xf numFmtId="0" fontId="12" fillId="0" borderId="1" applyNumberFormat="0" applyFill="0" applyProtection="0">
      <alignment vertical="center"/>
    </xf>
    <xf numFmtId="169" fontId="8" fillId="0" borderId="0" applyFont="0" applyFill="0" applyBorder="0" applyProtection="0">
      <alignment horizontal="left" vertical="top"/>
    </xf>
    <xf numFmtId="166" fontId="11" fillId="0" borderId="0" applyFont="0" applyFill="0" applyBorder="0" applyAlignment="0" applyProtection="0"/>
    <xf numFmtId="10" fontId="8" fillId="0" borderId="0" applyFont="0" applyFill="0" applyBorder="0" applyAlignment="0" applyProtection="0"/>
    <xf numFmtId="0" fontId="6" fillId="0" borderId="0" applyNumberFormat="0" applyFill="0" applyProtection="0">
      <alignment horizontal="right" vertical="center"/>
    </xf>
    <xf numFmtId="0" fontId="10" fillId="0" borderId="0" applyNumberFormat="0" applyProtection="0">
      <alignment vertical="center" wrapText="1"/>
    </xf>
    <xf numFmtId="0" fontId="7" fillId="0" borderId="0" applyNumberFormat="0" applyFill="0" applyBorder="0" applyProtection="0">
      <alignment vertical="top"/>
    </xf>
    <xf numFmtId="0" fontId="9" fillId="2" borderId="1" applyNumberFormat="0" applyAlignment="0" applyProtection="0"/>
    <xf numFmtId="14" fontId="7" fillId="0" borderId="0" applyFont="0" applyFill="0" applyBorder="0"/>
    <xf numFmtId="168" fontId="7" fillId="0" borderId="0" applyFill="0" applyBorder="0">
      <alignment horizontal="left" vertical="top" wrapText="1"/>
    </xf>
    <xf numFmtId="164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2" applyNumberFormat="0" applyAlignment="0" applyProtection="0"/>
    <xf numFmtId="0" fontId="18" fillId="7" borderId="2" applyNumberFormat="0" applyAlignment="0" applyProtection="0"/>
    <xf numFmtId="0" fontId="19" fillId="0" borderId="3" applyNumberFormat="0" applyFill="0" applyAlignment="0" applyProtection="0"/>
    <xf numFmtId="0" fontId="20" fillId="8" borderId="4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2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22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22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22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3" fillId="0" borderId="0" applyNumberFormat="0" applyFill="0" applyBorder="0" applyAlignment="0" applyProtection="0">
      <alignment vertical="center" wrapText="1"/>
    </xf>
    <xf numFmtId="41" fontId="13" fillId="0" borderId="0" applyFont="0" applyFill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37" fillId="0" borderId="0"/>
    <xf numFmtId="165" fontId="37" fillId="0" borderId="0" applyFont="0" applyFill="0" applyBorder="0" applyAlignment="0" applyProtection="0"/>
  </cellStyleXfs>
  <cellXfs count="46">
    <xf numFmtId="0" fontId="0" fillId="0" borderId="0" xfId="0">
      <alignment vertical="center" wrapText="1"/>
    </xf>
    <xf numFmtId="0" fontId="26" fillId="0" borderId="5" xfId="0" applyFont="1" applyBorder="1" applyAlignment="1">
      <alignment horizontal="center" vertical="center" wrapText="1"/>
    </xf>
    <xf numFmtId="170" fontId="26" fillId="0" borderId="5" xfId="0" applyNumberFormat="1" applyFont="1" applyBorder="1" applyAlignment="1">
      <alignment horizontal="right" vertical="center"/>
    </xf>
    <xf numFmtId="0" fontId="29" fillId="0" borderId="0" xfId="3" applyFont="1" applyBorder="1">
      <alignment vertical="top" wrapText="1"/>
    </xf>
    <xf numFmtId="0" fontId="29" fillId="0" borderId="0" xfId="3" applyFont="1" applyFill="1" applyBorder="1">
      <alignment vertical="top" wrapText="1"/>
    </xf>
    <xf numFmtId="0" fontId="30" fillId="0" borderId="0" xfId="49" applyFont="1" applyAlignment="1">
      <alignment vertical="top" wrapText="1"/>
    </xf>
    <xf numFmtId="0" fontId="29" fillId="0" borderId="0" xfId="3" applyFont="1">
      <alignment vertical="top" wrapText="1"/>
    </xf>
    <xf numFmtId="168" fontId="29" fillId="0" borderId="0" xfId="14" applyFont="1">
      <alignment horizontal="left" vertical="top" wrapText="1"/>
    </xf>
    <xf numFmtId="0" fontId="31" fillId="0" borderId="0" xfId="0" applyFont="1">
      <alignment vertical="center" wrapText="1"/>
    </xf>
    <xf numFmtId="0" fontId="33" fillId="0" borderId="0" xfId="0" applyFont="1">
      <alignment vertical="center" wrapText="1"/>
    </xf>
    <xf numFmtId="0" fontId="35" fillId="0" borderId="0" xfId="0" applyFont="1">
      <alignment vertical="center" wrapText="1"/>
    </xf>
    <xf numFmtId="0" fontId="24" fillId="0" borderId="0" xfId="2" applyFont="1" applyBorder="1" applyAlignment="1">
      <alignment horizontal="left" wrapText="1" indent="1"/>
    </xf>
    <xf numFmtId="0" fontId="24" fillId="0" borderId="0" xfId="3" applyFont="1" applyBorder="1" applyAlignment="1">
      <alignment horizontal="right" wrapText="1"/>
    </xf>
    <xf numFmtId="0" fontId="36" fillId="0" borderId="0" xfId="3" applyFont="1" applyBorder="1" applyAlignment="1">
      <alignment horizontal="right" wrapText="1"/>
    </xf>
    <xf numFmtId="0" fontId="7" fillId="0" borderId="0" xfId="3">
      <alignment vertical="top" wrapText="1"/>
    </xf>
    <xf numFmtId="0" fontId="27" fillId="0" borderId="7" xfId="0" applyFont="1" applyBorder="1">
      <alignment vertical="center" wrapText="1"/>
    </xf>
    <xf numFmtId="165" fontId="38" fillId="0" borderId="0" xfId="70" applyFont="1"/>
    <xf numFmtId="171" fontId="38" fillId="0" borderId="0" xfId="70" applyNumberFormat="1" applyFont="1"/>
    <xf numFmtId="0" fontId="38" fillId="0" borderId="0" xfId="0" applyFont="1" applyAlignment="1"/>
    <xf numFmtId="171" fontId="38" fillId="0" borderId="0" xfId="0" applyNumberFormat="1" applyFont="1" applyAlignment="1"/>
    <xf numFmtId="170" fontId="9" fillId="2" borderId="5" xfId="7" applyNumberFormat="1" applyFont="1" applyFill="1" applyBorder="1" applyAlignment="1">
      <alignment horizontal="center" vertical="center"/>
    </xf>
    <xf numFmtId="0" fontId="39" fillId="0" borderId="8" xfId="0" applyFont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center" wrapText="1"/>
    </xf>
    <xf numFmtId="170" fontId="40" fillId="0" borderId="5" xfId="0" applyNumberFormat="1" applyFont="1" applyBorder="1" applyAlignment="1">
      <alignment horizontal="center" vertical="center"/>
    </xf>
    <xf numFmtId="170" fontId="41" fillId="0" borderId="5" xfId="7" applyNumberFormat="1" applyFont="1" applyBorder="1" applyAlignment="1">
      <alignment horizontal="center" vertical="center"/>
    </xf>
    <xf numFmtId="0" fontId="28" fillId="0" borderId="0" xfId="1" applyFont="1" applyAlignment="1">
      <alignment horizontal="center" vertical="center"/>
    </xf>
    <xf numFmtId="14" fontId="36" fillId="0" borderId="0" xfId="13" applyFont="1" applyBorder="1" applyAlignment="1">
      <alignment horizontal="right"/>
    </xf>
    <xf numFmtId="169" fontId="36" fillId="0" borderId="0" xfId="6" applyFont="1" applyBorder="1" applyAlignment="1">
      <alignment horizontal="right" vertical="center"/>
    </xf>
    <xf numFmtId="0" fontId="36" fillId="0" borderId="0" xfId="3" applyFont="1" applyBorder="1" applyAlignment="1">
      <alignment horizontal="left" vertical="top" wrapText="1" indent="1"/>
    </xf>
    <xf numFmtId="0" fontId="32" fillId="0" borderId="0" xfId="0" applyFont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168" fontId="7" fillId="0" borderId="0" xfId="14">
      <alignment horizontal="left" vertical="top" wrapText="1"/>
    </xf>
    <xf numFmtId="0" fontId="28" fillId="0" borderId="0" xfId="1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41" fillId="0" borderId="9" xfId="5" applyFont="1" applyBorder="1" applyAlignment="1">
      <alignment horizontal="center" vertical="center"/>
    </xf>
    <xf numFmtId="0" fontId="41" fillId="0" borderId="10" xfId="5" applyFont="1" applyBorder="1" applyAlignment="1">
      <alignment horizontal="center" vertical="center"/>
    </xf>
    <xf numFmtId="0" fontId="9" fillId="2" borderId="9" xfId="12" applyBorder="1" applyAlignment="1">
      <alignment horizontal="center" vertical="center"/>
    </xf>
    <xf numFmtId="0" fontId="9" fillId="2" borderId="10" xfId="12" applyBorder="1" applyAlignment="1">
      <alignment horizontal="center" vertical="center"/>
    </xf>
    <xf numFmtId="0" fontId="6" fillId="0" borderId="0" xfId="9">
      <alignment horizontal="right" vertical="center"/>
    </xf>
    <xf numFmtId="168" fontId="42" fillId="0" borderId="6" xfId="14" applyFont="1" applyBorder="1" applyAlignment="1">
      <alignment horizontal="left" vertical="center" wrapText="1"/>
    </xf>
    <xf numFmtId="168" fontId="25" fillId="0" borderId="6" xfId="14" applyFont="1" applyBorder="1" applyAlignment="1">
      <alignment horizontal="left" vertical="center" wrapText="1"/>
    </xf>
    <xf numFmtId="168" fontId="24" fillId="0" borderId="6" xfId="14" applyFont="1" applyBorder="1" applyAlignment="1">
      <alignment horizontal="left" vertical="center" wrapText="1"/>
    </xf>
    <xf numFmtId="0" fontId="31" fillId="0" borderId="0" xfId="0" applyFont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168" fontId="44" fillId="0" borderId="11" xfId="14" applyFont="1" applyBorder="1" applyAlignment="1">
      <alignment horizontal="left" vertical="center" wrapText="1"/>
    </xf>
    <xf numFmtId="168" fontId="25" fillId="0" borderId="11" xfId="14" applyFont="1" applyBorder="1" applyAlignment="1">
      <alignment horizontal="left" vertical="center" wrapText="1"/>
    </xf>
  </cellXfs>
  <cellStyles count="71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20% — акцент1 2" xfId="51" xr:uid="{5C1BD2B9-4487-4170-97A0-271439048054}"/>
    <cellStyle name="20% — акцент2 2" xfId="54" xr:uid="{9728D00A-9D9F-4C82-9C2F-AE7119F7B57B}"/>
    <cellStyle name="20% — акцент3 2" xfId="57" xr:uid="{84F14E76-7990-43F3-BE7E-9AB922C0617E}"/>
    <cellStyle name="20% — акцент4 2" xfId="60" xr:uid="{B5B8F061-6A34-462C-86E4-EB8C64CB4583}"/>
    <cellStyle name="20% — акцент5 2" xfId="63" xr:uid="{D3A56F18-309A-4035-BD08-A45D9ADBBAC4}"/>
    <cellStyle name="20% — акцент6 2" xfId="66" xr:uid="{E1FF912B-7652-447A-AB99-0C627404B075}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40% — акцент1 2" xfId="52" xr:uid="{6CA3B07B-29CD-40EF-8C28-546A35BB000A}"/>
    <cellStyle name="40% — акцент2 2" xfId="55" xr:uid="{F3FA09F7-9C7B-46AE-880D-467A1AB7707C}"/>
    <cellStyle name="40% — акцент3 2" xfId="58" xr:uid="{73E99D48-0BC1-4311-983A-EEA4862034B4}"/>
    <cellStyle name="40% — акцент4 2" xfId="61" xr:uid="{DC83EF55-BE22-4BB0-B947-5FDE66415101}"/>
    <cellStyle name="40% — акцент5 2" xfId="64" xr:uid="{B8A3C88C-761E-4C8C-A8EB-A7828ED07455}"/>
    <cellStyle name="40% — акцент6 2" xfId="67" xr:uid="{71A32DCD-3816-4FF9-92FF-AF43CB225962}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60% — акцент1 2" xfId="53" xr:uid="{DC2F381B-6411-43EB-8981-65917328EFB8}"/>
    <cellStyle name="60% — акцент2 2" xfId="56" xr:uid="{3C6DB2D2-9B27-432A-BFE5-E2D0AA07CC85}"/>
    <cellStyle name="60% — акцент3 2" xfId="59" xr:uid="{90EE9C28-C02F-4CCE-818D-655F3BA35A94}"/>
    <cellStyle name="60% — акцент4 2" xfId="62" xr:uid="{F19CD3D4-8247-45A7-BA25-EB66373F053F}"/>
    <cellStyle name="60% — акцент5 2" xfId="65" xr:uid="{DF9BB789-4577-40E3-887D-DD07D7234AD7}"/>
    <cellStyle name="60% — акцент6 2" xfId="68" xr:uid="{4EBCEE8C-3B7B-439F-9D04-93AA978FA017}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8" builtinId="27" customBuiltin="1"/>
    <cellStyle name="Calculation" xfId="21" builtinId="22" customBuiltin="1"/>
    <cellStyle name="Check Cell" xfId="23" builtinId="23" customBuiltin="1"/>
    <cellStyle name="Comma" xfId="6" builtinId="3" customBuiltin="1"/>
    <cellStyle name="Comma [0]" xfId="15" builtinId="6" customBuiltin="1"/>
    <cellStyle name="Comma 2" xfId="70" xr:uid="{F1C452C3-998C-48ED-9E09-17624DB27BC2}"/>
    <cellStyle name="Currency" xfId="7" builtinId="4" customBuiltin="1"/>
    <cellStyle name="Currency [0]" xfId="16" builtinId="7" customBuiltin="1"/>
    <cellStyle name="Date" xfId="13" xr:uid="{00000000-0005-0000-0000-000012000000}"/>
    <cellStyle name="Explanatory Text" xfId="11" builtinId="53" customBuiltin="1"/>
    <cellStyle name="Good" xfId="17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5" builtinId="19" customBuiltin="1"/>
    <cellStyle name="Hyperlink" xfId="49" builtinId="8"/>
    <cellStyle name="Input" xfId="20" builtinId="20" customBuiltin="1"/>
    <cellStyle name="Linked Cell" xfId="22" builtinId="24" customBuiltin="1"/>
    <cellStyle name="Neutral" xfId="19" builtinId="28" customBuiltin="1"/>
    <cellStyle name="Normal" xfId="0" builtinId="0" customBuiltin="1"/>
    <cellStyle name="Normal 2" xfId="69" xr:uid="{60717C40-832A-4C80-9016-D7A6D72137F5}"/>
    <cellStyle name="Note" xfId="10" builtinId="10" customBuiltin="1"/>
    <cellStyle name="Output" xfId="4" builtinId="21" customBuiltin="1"/>
    <cellStyle name="Percent" xfId="8" builtinId="5" customBuiltin="1"/>
    <cellStyle name="Phone" xfId="14" xr:uid="{00000000-0005-0000-0000-000013000000}"/>
    <cellStyle name="Title" xfId="9" builtinId="15" customBuiltin="1"/>
    <cellStyle name="Total" xfId="12" builtinId="25" customBuiltin="1"/>
    <cellStyle name="Warning Text" xfId="24" builtinId="11" customBuiltin="1"/>
    <cellStyle name="Финансовый [0] 2" xfId="50" xr:uid="{47BBBEA8-39E9-4387-9209-2C9A334001A6}"/>
  </cellStyles>
  <dxfs count="12">
    <dxf>
      <font>
        <strike val="0"/>
        <outline val="0"/>
        <shadow val="0"/>
        <u val="none"/>
        <vertAlign val="baseline"/>
        <sz val="12"/>
        <color theme="1"/>
        <name val="Cambria"/>
        <scheme val="minor"/>
      </font>
      <numFmt numFmtId="170" formatCode="_-* #,##0.00\ [$₼-42C]_-;\-* #,##0.00\ [$₼-42C]_-;_-* &quot;-&quot;??\ [$₼-42C]_-;_-@_-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mbria"/>
        <scheme val="minor"/>
      </font>
      <numFmt numFmtId="170" formatCode="_-* #,##0.00\ [$₼-42C]_-;\-* #,##0.00\ [$₼-42C]_-;_-* &quot;-&quot;??\ [$₼-42C]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mbria"/>
        <family val="1"/>
        <charset val="20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mbria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color theme="1"/>
        <family val="1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color theme="1" tint="0.34998626667073579"/>
      </font>
      <fill>
        <patternFill patternType="solid">
          <fgColor theme="4" tint="0.79995117038483843"/>
          <bgColor theme="0" tint="-4.9989318521683403E-2"/>
        </patternFill>
      </fill>
    </dxf>
    <dxf>
      <font>
        <b/>
        <i val="0"/>
        <color theme="1" tint="0.34998626667073579"/>
      </font>
    </dxf>
    <dxf>
      <font>
        <b/>
        <i val="0"/>
        <color theme="1" tint="0.34998626667073579"/>
      </font>
      <fill>
        <patternFill patternType="none">
          <bgColor auto="1"/>
        </patternFill>
      </fill>
      <border>
        <left/>
        <right/>
        <top style="medium">
          <color theme="1" tint="0.24994659260841701"/>
        </top>
        <bottom style="medium">
          <color theme="1" tint="0.24994659260841701"/>
        </bottom>
      </border>
    </dxf>
    <dxf>
      <font>
        <color theme="1" tint="0.34998626667073579"/>
      </font>
      <fill>
        <patternFill>
          <bgColor theme="0" tint="-0.14996795556505021"/>
        </patternFill>
      </fill>
      <border>
        <left/>
        <right/>
        <top style="medium">
          <color theme="1" tint="0.24994659260841701"/>
        </top>
        <bottom style="medium">
          <color theme="1" tint="0.24994659260841701"/>
        </bottom>
      </border>
    </dxf>
    <dxf>
      <font>
        <b val="0"/>
        <i val="0"/>
        <color theme="1" tint="0.34998626667073579"/>
      </font>
      <border>
        <left/>
        <right/>
        <top style="medium">
          <color theme="1" tint="0.24994659260841701"/>
        </top>
        <bottom style="medium">
          <color theme="1" tint="0.24994659260841701"/>
        </bottom>
        <horizontal style="thin">
          <color theme="1" tint="0.24994659260841701"/>
        </horizontal>
      </border>
    </dxf>
  </dxfs>
  <tableStyles count="1" defaultTableStyle="Invoice with Sales Tax" defaultPivotStyle="PivotStyleLight16">
    <tableStyle name="Invoice with Sales Tax" pivot="0" count="5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first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95249</xdr:colOff>
      <xdr:row>0</xdr:row>
      <xdr:rowOff>400050</xdr:rowOff>
    </xdr:from>
    <xdr:to>
      <xdr:col>2</xdr:col>
      <xdr:colOff>287866</xdr:colOff>
      <xdr:row>4</xdr:row>
      <xdr:rowOff>142875</xdr:rowOff>
    </xdr:to>
    <xdr:pic>
      <xdr:nvPicPr>
        <xdr:cNvPr id="4" name="Рисунок 2">
          <a:extLst>
            <a:ext uri="{FF2B5EF4-FFF2-40B4-BE49-F238E27FC236}">
              <a16:creationId xmlns:a16="http://schemas.microsoft.com/office/drawing/2014/main" id="{6F0249AF-FFBE-4919-AE6D-8231678785D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982" y="400050"/>
          <a:ext cx="2834217" cy="11398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A9EC2C-B2FD-4A71-8CAA-7C8CA94F1CC0}" name="Données3" displayName="Données3" ref="B16:E17" headerRowDxfId="6" dataDxfId="5" totalsRowDxfId="4">
  <tableColumns count="4">
    <tableColumn id="1" xr3:uid="{8884442B-6A61-446C-A30D-F8BC20B032AF}" name="Malların (iş və ya xidmətlərin) adı" totalsRowLabel="Total" dataDxfId="3"/>
    <tableColumn id="2" xr3:uid="{B47BDFA1-653B-4262-B998-114F5EFE81B5}" name="Miqdarı " dataDxfId="2"/>
    <tableColumn id="3" xr3:uid="{FD60E56F-38D1-401C-B19F-83D62C1545FD}" name="Qiymət" dataDxfId="1"/>
    <tableColumn id="4" xr3:uid="{C1DD6ABA-A5E4-4C57-86A6-B93B7A4D9281}" name="Məbləğ" totalsRowFunction="count" dataDxfId="0">
      <calculatedColumnFormula>Données3[[#This Row],[Miqdarı ]]*Données3[[#This Row],[Qiymət]]</calculatedColumnFormula>
    </tableColumn>
  </tableColumns>
  <tableStyleInfo name="Invoice with Sales Tax" showFirstColumn="0" showLastColumn="0" showRowStripes="1" showColumnStripes="0"/>
  <extLst>
    <ext xmlns:x14="http://schemas.microsoft.com/office/spreadsheetml/2009/9/main" uri="{504A1905-F514-4f6f-8877-14C23A59335A}">
      <x14:table altTextSummary="Enter invoice item descriptions and amounts. Subtotal is automatically calculated at end of table"/>
    </ext>
  </extLst>
</table>
</file>

<file path=xl/theme/theme1.xml><?xml version="1.0" encoding="utf-8"?>
<a:theme xmlns:a="http://schemas.openxmlformats.org/drawingml/2006/main" name="Office Theme">
  <a:themeElements>
    <a:clrScheme name="Invoice with Sales Tax">
      <a:dk1>
        <a:sysClr val="windowText" lastClr="000000"/>
      </a:dk1>
      <a:lt1>
        <a:sysClr val="window" lastClr="FFFFFF"/>
      </a:lt1>
      <a:dk2>
        <a:srgbClr val="6E747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85296"/>
      </a:hlink>
      <a:folHlink>
        <a:srgbClr val="993366"/>
      </a:folHlink>
    </a:clrScheme>
    <a:fontScheme name="Invoice with Sales Tax">
      <a:majorFont>
        <a:latin typeface="Tahoma"/>
        <a:ea typeface=""/>
        <a:cs typeface=""/>
      </a:majorFont>
      <a:minorFont>
        <a:latin typeface="Cambri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57000"/>
                <a:satMod val="101000"/>
              </a:schemeClr>
            </a:gs>
            <a:gs pos="50000">
              <a:schemeClr val="phClr">
                <a:lumMod val="137000"/>
                <a:satMod val="103000"/>
              </a:schemeClr>
            </a:gs>
            <a:gs pos="100000">
              <a:schemeClr val="phClr">
                <a:lumMod val="11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18000"/>
              </a:schemeClr>
            </a:gs>
            <a:gs pos="50000">
              <a:schemeClr val="phClr">
                <a:satMod val="89000"/>
                <a:lumMod val="91000"/>
              </a:schemeClr>
            </a:gs>
            <a:gs pos="100000">
              <a:schemeClr val="phClr">
                <a:lumMod val="6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atMod val="100000"/>
                <a:shade val="0"/>
              </a:schemeClr>
            </a:gs>
            <a:gs pos="0">
              <a:scrgbClr r="0" g="0" b="0"/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34998626667073579"/>
    <pageSetUpPr fitToPage="1"/>
  </sheetPr>
  <dimension ref="B1:E25"/>
  <sheetViews>
    <sheetView showGridLines="0" tabSelected="1" topLeftCell="A7" zoomScale="80" zoomScaleNormal="80" zoomScaleSheetLayoutView="80" workbookViewId="0">
      <selection activeCell="J17" sqref="J17"/>
    </sheetView>
  </sheetViews>
  <sheetFormatPr defaultColWidth="9" defaultRowHeight="30" customHeight="1" x14ac:dyDescent="0.25"/>
  <cols>
    <col min="1" max="1" width="2.59765625" customWidth="1"/>
    <col min="2" max="2" width="34.69921875" customWidth="1"/>
    <col min="3" max="3" width="10.5" customWidth="1"/>
    <col min="4" max="4" width="13" customWidth="1"/>
    <col min="5" max="5" width="41.19921875" customWidth="1"/>
    <col min="6" max="6" width="27.19921875" customWidth="1"/>
  </cols>
  <sheetData>
    <row r="1" spans="2:5" ht="35.1" customHeight="1" x14ac:dyDescent="0.25">
      <c r="B1" s="32"/>
      <c r="C1" s="25"/>
      <c r="D1" s="38" t="s">
        <v>0</v>
      </c>
      <c r="E1" s="38"/>
    </row>
    <row r="2" spans="2:5" ht="30" customHeight="1" x14ac:dyDescent="0.25">
      <c r="B2" s="32"/>
      <c r="C2" s="25"/>
      <c r="D2" s="11" t="s">
        <v>1</v>
      </c>
      <c r="E2" s="26">
        <v>46260</v>
      </c>
    </row>
    <row r="3" spans="2:5" ht="15" customHeight="1" x14ac:dyDescent="0.25">
      <c r="B3" s="32"/>
      <c r="C3" s="25"/>
      <c r="D3" s="11" t="s">
        <v>2</v>
      </c>
      <c r="E3" s="27" t="s">
        <v>89</v>
      </c>
    </row>
    <row r="4" spans="2:5" ht="30" customHeight="1" x14ac:dyDescent="0.25">
      <c r="B4" s="32"/>
      <c r="C4" s="25"/>
      <c r="D4" s="3"/>
      <c r="E4" s="4"/>
    </row>
    <row r="5" spans="2:5" ht="15.75" customHeight="1" x14ac:dyDescent="0.25">
      <c r="B5" s="32"/>
      <c r="C5" s="25"/>
      <c r="D5" s="28" t="s">
        <v>3</v>
      </c>
      <c r="E5" s="12" t="s">
        <v>4</v>
      </c>
    </row>
    <row r="6" spans="2:5" ht="15.75" customHeight="1" x14ac:dyDescent="0.25">
      <c r="B6" s="5"/>
      <c r="C6" s="5"/>
      <c r="D6" s="28" t="s">
        <v>5</v>
      </c>
      <c r="E6" s="12" t="s">
        <v>6</v>
      </c>
    </row>
    <row r="7" spans="2:5" ht="13.8" x14ac:dyDescent="0.25">
      <c r="B7" s="6"/>
      <c r="C7" s="6"/>
      <c r="D7" s="28" t="s">
        <v>7</v>
      </c>
      <c r="E7" s="12">
        <v>200219</v>
      </c>
    </row>
    <row r="8" spans="2:5" ht="13.8" x14ac:dyDescent="0.25">
      <c r="B8" s="14" t="s">
        <v>8</v>
      </c>
      <c r="C8" s="7"/>
      <c r="D8" s="28" t="s">
        <v>9</v>
      </c>
      <c r="E8" s="12">
        <v>9900003611</v>
      </c>
    </row>
    <row r="9" spans="2:5" ht="13.8" x14ac:dyDescent="0.25">
      <c r="B9" s="14" t="s">
        <v>85</v>
      </c>
      <c r="C9" s="7"/>
      <c r="D9" s="28" t="s">
        <v>10</v>
      </c>
      <c r="E9" s="12" t="s">
        <v>11</v>
      </c>
    </row>
    <row r="10" spans="2:5" ht="14.25" customHeight="1" x14ac:dyDescent="0.25">
      <c r="B10" s="31"/>
      <c r="C10" s="7"/>
      <c r="D10" s="28" t="s">
        <v>12</v>
      </c>
      <c r="E10" s="12" t="s">
        <v>13</v>
      </c>
    </row>
    <row r="11" spans="2:5" ht="13.8" x14ac:dyDescent="0.25">
      <c r="B11" s="31"/>
      <c r="C11" s="7"/>
      <c r="D11" s="28" t="s">
        <v>14</v>
      </c>
      <c r="E11" s="13" t="s">
        <v>15</v>
      </c>
    </row>
    <row r="12" spans="2:5" ht="13.8" x14ac:dyDescent="0.25">
      <c r="B12" s="31"/>
      <c r="C12" s="7"/>
      <c r="D12" s="28" t="s">
        <v>9</v>
      </c>
      <c r="E12" s="13">
        <v>1604705221</v>
      </c>
    </row>
    <row r="13" spans="2:5" ht="13.8" x14ac:dyDescent="0.25">
      <c r="B13" s="31"/>
      <c r="C13" s="7"/>
      <c r="D13" s="28" t="s">
        <v>16</v>
      </c>
      <c r="E13" s="13" t="s">
        <v>17</v>
      </c>
    </row>
    <row r="14" spans="2:5" ht="34.5" customHeight="1" x14ac:dyDescent="0.25">
      <c r="B14" s="39" t="s">
        <v>87</v>
      </c>
      <c r="C14" s="40"/>
      <c r="D14" s="41"/>
      <c r="E14" s="41"/>
    </row>
    <row r="15" spans="2:5" ht="39.6" customHeight="1" x14ac:dyDescent="0.25">
      <c r="B15" s="44" t="s">
        <v>88</v>
      </c>
      <c r="C15" s="45"/>
      <c r="D15" s="45"/>
      <c r="E15" s="45"/>
    </row>
    <row r="16" spans="2:5" ht="36.6" customHeight="1" x14ac:dyDescent="0.25">
      <c r="B16" s="1" t="s">
        <v>18</v>
      </c>
      <c r="C16" s="1" t="s">
        <v>19</v>
      </c>
      <c r="D16" s="1" t="s">
        <v>20</v>
      </c>
      <c r="E16" s="2" t="s">
        <v>21</v>
      </c>
    </row>
    <row r="17" spans="2:5" ht="111" customHeight="1" x14ac:dyDescent="0.25">
      <c r="B17" s="21" t="s">
        <v>86</v>
      </c>
      <c r="C17" s="22">
        <v>1</v>
      </c>
      <c r="D17" s="23">
        <v>4660</v>
      </c>
      <c r="E17" s="23">
        <f>Données3[[#This Row],[Miqdarı ]]*Données3[[#This Row],[Qiymət]]</f>
        <v>4660</v>
      </c>
    </row>
    <row r="18" spans="2:5" ht="42.75" customHeight="1" x14ac:dyDescent="0.25">
      <c r="B18" s="33" t="s">
        <v>22</v>
      </c>
      <c r="C18" s="34" t="s">
        <v>23</v>
      </c>
      <c r="D18" s="35"/>
      <c r="E18" s="24">
        <f>E17</f>
        <v>4660</v>
      </c>
    </row>
    <row r="19" spans="2:5" ht="42.75" customHeight="1" x14ac:dyDescent="0.25">
      <c r="B19" s="33"/>
      <c r="C19" s="34" t="s">
        <v>24</v>
      </c>
      <c r="D19" s="35"/>
      <c r="E19" s="24">
        <f>E18*18%</f>
        <v>838.8</v>
      </c>
    </row>
    <row r="20" spans="2:5" ht="30" customHeight="1" x14ac:dyDescent="0.25">
      <c r="B20" s="33"/>
      <c r="C20" s="36" t="s">
        <v>25</v>
      </c>
      <c r="D20" s="37"/>
      <c r="E20" s="20">
        <f>E18+E19</f>
        <v>5498.8</v>
      </c>
    </row>
    <row r="21" spans="2:5" ht="30" customHeight="1" x14ac:dyDescent="0.25">
      <c r="B21" s="15" t="s">
        <v>26</v>
      </c>
      <c r="C21" s="43" t="str">
        <f>Sheet1!A23</f>
        <v>beş min dörd yüz doxsan səkkiz manat 80 qəpik</v>
      </c>
      <c r="D21" s="43"/>
      <c r="E21" s="43"/>
    </row>
    <row r="22" spans="2:5" ht="30" customHeight="1" x14ac:dyDescent="0.25">
      <c r="B22" s="8"/>
      <c r="C22" s="8"/>
      <c r="D22" s="8"/>
      <c r="E22" s="8"/>
    </row>
    <row r="23" spans="2:5" ht="30" customHeight="1" x14ac:dyDescent="0.25">
      <c r="B23" s="42"/>
      <c r="C23" s="42"/>
      <c r="D23" s="42"/>
      <c r="E23" s="42"/>
    </row>
    <row r="24" spans="2:5" ht="30" customHeight="1" x14ac:dyDescent="0.25">
      <c r="B24" s="29" t="s">
        <v>27</v>
      </c>
      <c r="C24" s="29"/>
      <c r="D24" s="29"/>
      <c r="E24" s="9" t="s">
        <v>28</v>
      </c>
    </row>
    <row r="25" spans="2:5" ht="30" customHeight="1" x14ac:dyDescent="0.25">
      <c r="B25" s="30"/>
      <c r="C25" s="30"/>
      <c r="D25" s="30"/>
      <c r="E25" s="10"/>
    </row>
  </sheetData>
  <mergeCells count="13">
    <mergeCell ref="B24:D24"/>
    <mergeCell ref="B25:D25"/>
    <mergeCell ref="B10:B13"/>
    <mergeCell ref="B1:B5"/>
    <mergeCell ref="B18:B20"/>
    <mergeCell ref="C18:D18"/>
    <mergeCell ref="C19:D19"/>
    <mergeCell ref="C20:D20"/>
    <mergeCell ref="D1:E1"/>
    <mergeCell ref="B14:E14"/>
    <mergeCell ref="B23:E23"/>
    <mergeCell ref="C21:E21"/>
    <mergeCell ref="B15:E15"/>
  </mergeCells>
  <dataValidations xWindow="481" yWindow="547" count="25">
    <dataValidation allowBlank="1" showInputMessage="1" showErrorMessage="1" prompt="Créez une facture avec TVA dans cette feuille de calcul. Entrez les détails de la société dans les cellules B6 à B9, et les détails de la facture dans le tableau commençant à la cellule B10. Le texte de l’info-bulle figure dans la cellule F9." sqref="A1" xr:uid="{1463727A-2925-4270-886C-380D0ED53A41}"/>
    <dataValidation allowBlank="1" showInputMessage="1" showErrorMessage="1" prompt="Le titre de cette feuille de calcul figure dans cette cellule. Entrez la date, le numéro de facture et la description du projet ou service dans les cellules C2 à D4. Entrez les détails de facturation dans les cellules C5 à D9." sqref="D1:E1" xr:uid="{290721FC-D93B-41DB-B3EF-0E84167F4546}"/>
    <dataValidation allowBlank="1" showInputMessage="1" showErrorMessage="1" prompt="Entrez le nom de la société dans cette cellule, et son slogan dans la cellule en dessous." sqref="B1:C1" xr:uid="{FCC708C5-FEF6-48F9-A040-32B8696CF6DD}"/>
    <dataValidation allowBlank="1" showInputMessage="1" showErrorMessage="1" prompt="Entrez l’adresse postale de la société dans cette cellule." sqref="B6:C6" xr:uid="{AAF324E8-074A-4D1E-9559-926DD2DE2B09}"/>
    <dataValidation allowBlank="1" showInputMessage="1" showErrorMessage="1" prompt="Entrez le code postal, la localité et le pays de la société dans cette cellule." sqref="B7:C7" xr:uid="{3B0AF3DC-BC50-426D-81E3-E9910D1C1955}"/>
    <dataValidation allowBlank="1" showInputMessage="1" showErrorMessage="1" prompt="Entrez le numéro de télécopie de la société dans cette cellule." sqref="B14:B15 C14" xr:uid="{E62B421B-1BE2-44D0-9920-57BCF9BAACB6}"/>
    <dataValidation allowBlank="1" showInputMessage="1" showErrorMessage="1" prompt="Entrez le nom du destinataire de la facture dans cette cellule." sqref="E5" xr:uid="{E331748F-E060-4C94-A99A-A905A8C3D0C1}"/>
    <dataValidation allowBlank="1" showInputMessage="1" showErrorMessage="1" prompt="Le sous-total est calculé automatiquement dans la cellule à droite." sqref="C18" xr:uid="{11EE1AD2-CACD-4E54-83A0-2E3E9B72EFE6}"/>
    <dataValidation allowBlank="1" showInputMessage="1" showErrorMessage="1" prompt="Le sous-total est calculé automatiquement dans cette cellule." sqref="E18" xr:uid="{A9F3EF87-B81D-4084-B1CA-CA15A83E09F6}"/>
    <dataValidation allowBlank="1" showInputMessage="1" showErrorMessage="1" prompt="Entrez un autre montant dans la cellule à droite." sqref="C19" xr:uid="{08A9C6AE-DB9F-4477-B6B8-4A02D3D4B083}"/>
    <dataValidation allowBlank="1" showInputMessage="1" showErrorMessage="1" prompt="Entrez un autre montant dans cette cellule." sqref="E19" xr:uid="{C737CB05-6694-4008-9770-991935608F94}"/>
    <dataValidation allowBlank="1" showInputMessage="1" showErrorMessage="1" prompt="Le total est calculé automatiquement dans la cellule à droite." sqref="C20" xr:uid="{7877BCD1-D18A-4086-9FBA-8766A4AF3DDC}"/>
    <dataValidation allowBlank="1" showInputMessage="1" showErrorMessage="1" prompt="Le total est calculé automatiquement dans cette cellule." sqref="E20" xr:uid="{1D043904-08FF-436C-8BAD-9591F4F7CAE8}"/>
    <dataValidation allowBlank="1" showInputMessage="1" showErrorMessage="1" prompt="Le nom de la société est mis à jour automatiquement dans cette cellule. Ajoutez le nom, le numéro de téléphone et l’adresse e-mail de la personne à contacter dans cette cellule." sqref="B18" xr:uid="{D206873D-D6A8-41CC-B903-9C2EAE16186A}"/>
    <dataValidation allowBlank="1" showInputMessage="1" showErrorMessage="1" prompt="Entrez la date de la facture dans la cellule à droite." sqref="D2" xr:uid="{67DD2D29-FF19-4DC4-B418-CC8EC5B22C38}"/>
    <dataValidation allowBlank="1" showInputMessage="1" showErrorMessage="1" prompt="Entrez le numéro de la facture dans la cellule à droite." sqref="D3" xr:uid="{871EAE3C-5ABF-4572-BA30-6ECC91DB2FA7}"/>
    <dataValidation allowBlank="1" showInputMessage="1" showErrorMessage="1" prompt="Entrez le numéro de la facture dans cette cellule." sqref="E2:E3" xr:uid="{ECCC423F-A035-47D5-8769-83878F1E35B9}"/>
    <dataValidation allowBlank="1" showInputMessage="1" showErrorMessage="1" prompt="Entrez la description du projet ou service dans la cellule à droite." sqref="D4" xr:uid="{988A1EC9-E86C-4F05-8353-353F1196772D}"/>
    <dataValidation allowBlank="1" showInputMessage="1" showErrorMessage="1" prompt="Entrez la description du projet ou service dans cette cellule." sqref="E4" xr:uid="{CAF05952-6E8C-419B-B490-CC37BDE506B5}"/>
    <dataValidation allowBlank="1" showInputMessage="1" showErrorMessage="1" prompt="Entrez le numéro de téléphone de la société dans cette cellule." sqref="B8:C10" xr:uid="{68D673AC-A3D2-4D56-9589-E576F45B1BD8}"/>
    <dataValidation allowBlank="1" showInputMessage="1" showErrorMessage="1" prompt="Entrez les détails de facturation dans les cellules à droite." sqref="D5:D13" xr:uid="{8206E373-9074-402C-825F-23B2898CABE3}"/>
    <dataValidation allowBlank="1" showInputMessage="1" showErrorMessage="1" prompt="Entrez le code postal, la ville et le pays de la société à facturer dans cette cellule." sqref="E11:E12" xr:uid="{4E7FF928-DC0D-4A6F-9531-F832EF44EBD4}"/>
    <dataValidation allowBlank="1" showInputMessage="1" showErrorMessage="1" prompt="Entrez la description dans cette colonne sous ce titre. Les totaux figurent sous cette colonne." sqref="B16:C17" xr:uid="{DB546236-BC62-4E4D-B456-8EA8CE4E3D40}"/>
    <dataValidation allowBlank="1" showInputMessage="1" showErrorMessage="1" prompt="Entrez le montant dans cette colonne sous ce titre. Entrez le taux de TVA et un autre montant sous le tableau. Le sous-total, la TVA et le total sont calculés automatiquement sous cette colonne." sqref="E16:E17" xr:uid="{53C42294-8D81-4C22-A4BA-7026C0541C75}"/>
    <dataValidation allowBlank="1" showInputMessage="1" showErrorMessage="1" prompt="Entrez un champ personnalisé dans ce titre, et les données correspondantes dans cette colonne sous ce titre." sqref="D16:D17" xr:uid="{B489B6A8-838A-4AF3-868F-9CFF1AE45818}"/>
  </dataValidations>
  <printOptions horizontalCentered="1"/>
  <pageMargins left="0.25" right="0.25" top="0.75" bottom="0.75" header="0.3" footer="0.3"/>
  <pageSetup paperSize="9" scale="89" fitToHeight="0" orientation="portrait" horizontalDpi="360" verticalDpi="360" r:id="rId1"/>
  <headerFooter differentFirst="1">
    <oddFooter>Page &amp;P of 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8503-4EE1-4AC1-A0C6-BABC32D1174C}">
  <dimension ref="A1:K23"/>
  <sheetViews>
    <sheetView workbookViewId="0">
      <selection activeCell="A23" sqref="A23"/>
    </sheetView>
  </sheetViews>
  <sheetFormatPr defaultRowHeight="13.8" x14ac:dyDescent="0.25"/>
  <cols>
    <col min="1" max="1" width="11.3984375" bestFit="1" customWidth="1"/>
  </cols>
  <sheetData>
    <row r="1" spans="1:11" x14ac:dyDescent="0.25">
      <c r="A1" s="16">
        <f>Faktura!E20</f>
        <v>5498.8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8" t="str">
        <f>IF(INT(A1)=0,"sıfır"&amp;A23,REPLACE(A23,1,1,PROPER(LEFT(A23,1))))</f>
        <v>Beş min dörd yüz doxsan səkkiz manat 80 qəpik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25">
      <c r="A3" s="18" t="s">
        <v>29</v>
      </c>
      <c r="B3" s="18" t="s">
        <v>30</v>
      </c>
      <c r="C3" s="18" t="s">
        <v>31</v>
      </c>
      <c r="D3" s="18" t="s">
        <v>32</v>
      </c>
      <c r="E3" s="18" t="s">
        <v>33</v>
      </c>
      <c r="F3" s="18" t="s">
        <v>34</v>
      </c>
      <c r="G3" s="18" t="s">
        <v>35</v>
      </c>
      <c r="H3" s="18" t="s">
        <v>36</v>
      </c>
      <c r="I3" s="18" t="s">
        <v>37</v>
      </c>
      <c r="J3" s="18" t="s">
        <v>38</v>
      </c>
      <c r="K3" s="18"/>
    </row>
    <row r="4" spans="1:11" x14ac:dyDescent="0.25">
      <c r="A4" s="18" t="s">
        <v>39</v>
      </c>
      <c r="B4" s="18" t="s">
        <v>40</v>
      </c>
      <c r="C4" s="18" t="s">
        <v>41</v>
      </c>
      <c r="D4" s="18" t="s">
        <v>42</v>
      </c>
      <c r="E4" s="18" t="s">
        <v>43</v>
      </c>
      <c r="F4" s="18" t="s">
        <v>44</v>
      </c>
      <c r="G4" s="18" t="s">
        <v>45</v>
      </c>
      <c r="H4" s="18" t="s">
        <v>46</v>
      </c>
      <c r="I4" s="18" t="s">
        <v>47</v>
      </c>
      <c r="J4" s="18" t="s">
        <v>48</v>
      </c>
      <c r="K4" s="18"/>
    </row>
    <row r="5" spans="1:11" x14ac:dyDescent="0.25">
      <c r="A5" s="18" t="s">
        <v>29</v>
      </c>
      <c r="B5" s="18" t="s">
        <v>29</v>
      </c>
      <c r="C5" s="18" t="s">
        <v>49</v>
      </c>
      <c r="D5" s="18" t="s">
        <v>50</v>
      </c>
      <c r="E5" s="18" t="s">
        <v>51</v>
      </c>
      <c r="F5" s="18" t="s">
        <v>52</v>
      </c>
      <c r="G5" s="18" t="s">
        <v>53</v>
      </c>
      <c r="H5" s="18" t="s">
        <v>54</v>
      </c>
      <c r="I5" s="18" t="s">
        <v>55</v>
      </c>
      <c r="J5" s="18" t="s">
        <v>56</v>
      </c>
      <c r="K5" s="18"/>
    </row>
    <row r="6" spans="1:11" x14ac:dyDescent="0.25">
      <c r="A6" s="18" t="s">
        <v>29</v>
      </c>
      <c r="B6" s="18" t="s">
        <v>57</v>
      </c>
      <c r="C6" s="18" t="s">
        <v>58</v>
      </c>
      <c r="D6" s="18" t="s">
        <v>59</v>
      </c>
      <c r="E6" s="18" t="s">
        <v>60</v>
      </c>
      <c r="F6" s="18" t="s">
        <v>61</v>
      </c>
      <c r="G6" s="18" t="s">
        <v>62</v>
      </c>
      <c r="H6" s="18" t="s">
        <v>63</v>
      </c>
      <c r="I6" s="18" t="s">
        <v>64</v>
      </c>
      <c r="J6" s="18" t="s">
        <v>65</v>
      </c>
      <c r="K6" s="18"/>
    </row>
    <row r="7" spans="1:11" x14ac:dyDescent="0.25">
      <c r="A7" s="18" t="str">
        <f>IF(AND((A1&gt;1000),OR((B14&gt;0),(B15&lt;&gt;0),(B16&lt;&gt;0)))," min"," ")</f>
        <v xml:space="preserve"> min</v>
      </c>
      <c r="B7" s="18" t="s">
        <v>66</v>
      </c>
      <c r="C7" s="18" t="s">
        <v>67</v>
      </c>
      <c r="D7" s="18" t="s">
        <v>68</v>
      </c>
      <c r="E7" s="18" t="s">
        <v>69</v>
      </c>
      <c r="F7" s="18" t="s">
        <v>70</v>
      </c>
      <c r="G7" s="18" t="s">
        <v>71</v>
      </c>
      <c r="H7" s="18" t="s">
        <v>72</v>
      </c>
      <c r="I7" s="18" t="s">
        <v>73</v>
      </c>
      <c r="J7" s="18" t="s">
        <v>74</v>
      </c>
      <c r="K7" s="18"/>
    </row>
    <row r="8" spans="1:11" x14ac:dyDescent="0.25">
      <c r="A8" s="18" t="str">
        <f>IF(A1&gt;1000000,"milyon"," ")</f>
        <v xml:space="preserve"> </v>
      </c>
      <c r="B8" s="18" t="s">
        <v>75</v>
      </c>
      <c r="C8" s="18" t="s">
        <v>76</v>
      </c>
      <c r="D8" s="18" t="s">
        <v>77</v>
      </c>
      <c r="E8" s="18" t="s">
        <v>78</v>
      </c>
      <c r="F8" s="18" t="s">
        <v>79</v>
      </c>
      <c r="G8" s="18" t="s">
        <v>80</v>
      </c>
      <c r="H8" s="18" t="s">
        <v>81</v>
      </c>
      <c r="I8" s="18" t="s">
        <v>82</v>
      </c>
      <c r="J8" s="18" t="s">
        <v>83</v>
      </c>
      <c r="K8" s="18"/>
    </row>
    <row r="9" spans="1:11" x14ac:dyDescent="0.25">
      <c r="A9" s="18" t="s">
        <v>84</v>
      </c>
      <c r="B9" s="18" t="s">
        <v>84</v>
      </c>
      <c r="C9" s="18" t="s">
        <v>84</v>
      </c>
      <c r="D9" s="18" t="s">
        <v>84</v>
      </c>
      <c r="E9" s="18" t="s">
        <v>84</v>
      </c>
      <c r="F9" s="18" t="s">
        <v>84</v>
      </c>
      <c r="G9" s="18" t="s">
        <v>84</v>
      </c>
      <c r="H9" s="18" t="s">
        <v>84</v>
      </c>
      <c r="I9" s="18" t="s">
        <v>84</v>
      </c>
      <c r="J9" s="18" t="s">
        <v>84</v>
      </c>
      <c r="K9" s="18"/>
    </row>
    <row r="10" spans="1:1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1" spans="1:11" x14ac:dyDescent="0.25">
      <c r="A11" s="17">
        <v>10</v>
      </c>
      <c r="B11" s="19">
        <f>INT($A$1/A11*10)-(INT($A$1/A11))*10</f>
        <v>8</v>
      </c>
      <c r="C11" s="18" t="str">
        <f>IF(B12=1,INDEX(A4:J4,B11+1),INDEX(A3:J3,B11+1))</f>
        <v>səkkiz</v>
      </c>
      <c r="D11" s="18"/>
      <c r="E11" s="18"/>
      <c r="F11" s="18"/>
      <c r="G11" s="18"/>
      <c r="H11" s="18"/>
      <c r="I11" s="18"/>
      <c r="J11" s="18"/>
      <c r="K11" s="18"/>
    </row>
    <row r="12" spans="1:11" x14ac:dyDescent="0.25">
      <c r="A12" s="17">
        <f t="shared" ref="A12:A19" si="0">A11*10</f>
        <v>100</v>
      </c>
      <c r="B12" s="19">
        <f>INT($A$1/A12*10)-(INT($A$1/A12))*10</f>
        <v>9</v>
      </c>
      <c r="C12" s="18" t="str">
        <f>INDEX(A5:J5,B12+1)</f>
        <v>doxsan</v>
      </c>
      <c r="D12" s="18"/>
      <c r="E12" s="18"/>
      <c r="F12" s="18"/>
      <c r="G12" s="18"/>
      <c r="H12" s="18"/>
      <c r="I12" s="18"/>
      <c r="J12" s="18"/>
      <c r="K12" s="18"/>
    </row>
    <row r="13" spans="1:11" x14ac:dyDescent="0.25">
      <c r="A13" s="17">
        <f t="shared" si="0"/>
        <v>1000</v>
      </c>
      <c r="B13" s="19">
        <f t="shared" ref="B13:B19" si="1">INT($A$1/A13*10)-(INT($A$1/A13))*10</f>
        <v>4</v>
      </c>
      <c r="C13" s="18" t="str">
        <f>INDEX(A6:J6,B13+1)</f>
        <v>dörd yüz</v>
      </c>
      <c r="D13" s="18"/>
      <c r="E13" s="18"/>
      <c r="F13" s="18"/>
      <c r="G13" s="18"/>
      <c r="H13" s="18"/>
      <c r="I13" s="18"/>
      <c r="J13" s="18"/>
      <c r="K13" s="18"/>
    </row>
    <row r="14" spans="1:11" x14ac:dyDescent="0.25">
      <c r="A14" s="17">
        <f t="shared" si="0"/>
        <v>10000</v>
      </c>
      <c r="B14" s="19">
        <f t="shared" si="1"/>
        <v>5</v>
      </c>
      <c r="C14" s="18" t="str">
        <f>IF(B15=1,INDEX(A4:J4,B14+1)&amp;A7,INDEX(A7:J7,B14+1))</f>
        <v>beş min</v>
      </c>
      <c r="D14" s="18"/>
      <c r="E14" s="18"/>
      <c r="F14" s="18"/>
      <c r="G14" s="18"/>
      <c r="H14" s="18"/>
      <c r="I14" s="18"/>
      <c r="J14" s="18"/>
      <c r="K14" s="18"/>
    </row>
    <row r="15" spans="1:11" x14ac:dyDescent="0.25">
      <c r="A15" s="17">
        <f t="shared" si="0"/>
        <v>100000</v>
      </c>
      <c r="B15" s="19">
        <f t="shared" si="1"/>
        <v>0</v>
      </c>
      <c r="C15" s="18" t="str">
        <f>INDEX(A5:J5,B15+1)</f>
        <v xml:space="preserve"> </v>
      </c>
      <c r="D15" s="18"/>
      <c r="E15" s="18"/>
      <c r="F15" s="18"/>
      <c r="G15" s="18"/>
      <c r="H15" s="18"/>
      <c r="I15" s="18"/>
      <c r="J15" s="18"/>
      <c r="K15" s="18"/>
    </row>
    <row r="16" spans="1:11" x14ac:dyDescent="0.25">
      <c r="A16" s="17">
        <f t="shared" si="0"/>
        <v>1000000</v>
      </c>
      <c r="B16" s="19">
        <f t="shared" si="1"/>
        <v>0</v>
      </c>
      <c r="C16" s="18" t="str">
        <f>INDEX(A6:J6,B16+1)</f>
        <v xml:space="preserve"> </v>
      </c>
      <c r="D16" s="18"/>
      <c r="E16" s="18"/>
      <c r="F16" s="18"/>
      <c r="G16" s="18"/>
      <c r="H16" s="18"/>
      <c r="I16" s="18"/>
      <c r="J16" s="18"/>
      <c r="K16" s="18"/>
    </row>
    <row r="17" spans="1:11" x14ac:dyDescent="0.25">
      <c r="A17" s="17">
        <f t="shared" si="0"/>
        <v>10000000</v>
      </c>
      <c r="B17" s="19">
        <f t="shared" si="1"/>
        <v>0</v>
      </c>
      <c r="C17" s="18" t="str">
        <f>IF(B18=1,INDEX(A4:J4,B17+1)&amp;A8,INDEX(A8:J8,B17+1))</f>
        <v xml:space="preserve"> </v>
      </c>
      <c r="D17" s="18"/>
      <c r="E17" s="18"/>
      <c r="F17" s="18"/>
      <c r="G17" s="18"/>
      <c r="H17" s="18"/>
      <c r="I17" s="18"/>
      <c r="J17" s="18"/>
      <c r="K17" s="18"/>
    </row>
    <row r="18" spans="1:11" x14ac:dyDescent="0.25">
      <c r="A18" s="17">
        <f t="shared" si="0"/>
        <v>100000000</v>
      </c>
      <c r="B18" s="19">
        <f t="shared" si="1"/>
        <v>0</v>
      </c>
      <c r="C18" s="18" t="str">
        <f>INDEX(A5:J5,B18+1)</f>
        <v xml:space="preserve"> </v>
      </c>
      <c r="D18" s="18"/>
      <c r="E18" s="18"/>
      <c r="F18" s="18"/>
      <c r="G18" s="18"/>
      <c r="H18" s="18"/>
      <c r="I18" s="18"/>
      <c r="J18" s="18"/>
      <c r="K18" s="18"/>
    </row>
    <row r="19" spans="1:11" x14ac:dyDescent="0.25">
      <c r="A19" s="17">
        <f t="shared" si="0"/>
        <v>1000000000</v>
      </c>
      <c r="B19" s="19">
        <f t="shared" si="1"/>
        <v>0</v>
      </c>
      <c r="C19" s="18" t="str">
        <f>INDEX(A6:J6,B19+1)</f>
        <v xml:space="preserve"> </v>
      </c>
      <c r="D19" s="18"/>
      <c r="E19" s="18"/>
      <c r="F19" s="18"/>
      <c r="G19" s="18"/>
      <c r="H19" s="18"/>
      <c r="I19" s="18"/>
      <c r="J19" s="18"/>
      <c r="K19" s="18"/>
    </row>
    <row r="20" spans="1:11" x14ac:dyDescent="0.25">
      <c r="A20" s="18"/>
      <c r="B20" s="18"/>
      <c r="C20" s="18" t="s">
        <v>84</v>
      </c>
      <c r="D20" s="18"/>
      <c r="E20" s="18"/>
      <c r="F20" s="18"/>
      <c r="G20" s="18"/>
      <c r="H20" s="18"/>
      <c r="I20" s="18"/>
      <c r="J20" s="18"/>
      <c r="K20" s="18"/>
    </row>
    <row r="21" spans="1:11" x14ac:dyDescent="0.25">
      <c r="A21" s="18"/>
      <c r="B21" s="18"/>
      <c r="C21" s="18" t="str">
        <f>TEXT(ROUND((A1-INT(A1))*100,2),"00")</f>
        <v>80</v>
      </c>
      <c r="D21" s="18"/>
      <c r="E21" s="18"/>
      <c r="F21" s="18"/>
      <c r="G21" s="18"/>
      <c r="H21" s="18"/>
      <c r="I21" s="18"/>
      <c r="J21" s="18"/>
      <c r="K21" s="18"/>
    </row>
    <row r="22" spans="1:1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x14ac:dyDescent="0.25">
      <c r="A23" s="18" t="str">
        <f>TRIM(C19&amp;" "&amp;C18&amp;" "&amp;C17&amp;" "&amp;C16&amp;" "&amp;C15&amp;" "&amp;C14&amp;" "&amp;C13&amp;" "&amp;C12&amp;" "&amp;C11&amp;" "&amp;C20&amp;" "&amp;C21&amp;" qəpik")</f>
        <v>beş min dörd yüz doxsan səkkiz manat 80 qəpik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Faktura</vt:lpstr>
      <vt:lpstr>Sheet1</vt:lpstr>
      <vt:lpstr>Faktura!Print_Titles</vt:lpstr>
      <vt:lpstr>ZonteTitreLigne1..D4</vt:lpstr>
      <vt:lpstr>ZonteTitreLigne2..D11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2018-08-10T05:45:04Z</dcterms:created>
  <dcterms:modified xsi:type="dcterms:W3CDTF">2026-08-25T21:36:19Z</dcterms:modified>
  <cp:category/>
  <cp:contentStatus/>
</cp:coreProperties>
</file>